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1C62E2FD-F1E2-49B9-B4C3-5983491C0C78}" xr6:coauthVersionLast="47" xr6:coauthVersionMax="47" xr10:uidLastSave="{00000000-0000-0000-0000-000000000000}"/>
  <bookViews>
    <workbookView xWindow="-120" yWindow="-120" windowWidth="20730" windowHeight="11040" xr2:uid="{00000000-000D-0000-FFFF-FFFF00000000}"/>
  </bookViews>
  <sheets>
    <sheet name="datos" sheetId="1" r:id="rId1"/>
    <sheet name="justificacion tabla datos" sheetId="4" r:id="rId2"/>
    <sheet name="tabla de frecuencia y graficas" sheetId="2" r:id="rId3"/>
    <sheet name="estadistica"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3" i="2"/>
  <c r="C3" i="2" s="1"/>
  <c r="B14" i="2"/>
  <c r="B2" i="2"/>
  <c r="B4" i="3"/>
  <c r="B3" i="3"/>
  <c r="B2" i="3"/>
  <c r="C2" i="2" l="1"/>
</calcChain>
</file>

<file path=xl/sharedStrings.xml><?xml version="1.0" encoding="utf-8"?>
<sst xmlns="http://schemas.openxmlformats.org/spreadsheetml/2006/main" count="58" uniqueCount="39">
  <si>
    <t>ID</t>
  </si>
  <si>
    <t>Registro ventas</t>
  </si>
  <si>
    <t>Función</t>
  </si>
  <si>
    <t>Alertas stock</t>
  </si>
  <si>
    <t>Reportes</t>
  </si>
  <si>
    <t>Acceso</t>
  </si>
  <si>
    <t>Característica</t>
  </si>
  <si>
    <t>Ventas por día</t>
  </si>
  <si>
    <t>Sí</t>
  </si>
  <si>
    <t>Ventas</t>
  </si>
  <si>
    <t>Diarios</t>
  </si>
  <si>
    <t>Dueño</t>
  </si>
  <si>
    <t>Fácil</t>
  </si>
  <si>
    <t>Inventario</t>
  </si>
  <si>
    <t>Mensual</t>
  </si>
  <si>
    <t>Todos</t>
  </si>
  <si>
    <t>Rápido</t>
  </si>
  <si>
    <t>No</t>
  </si>
  <si>
    <t>Ganancias</t>
  </si>
  <si>
    <t>Seguro</t>
  </si>
  <si>
    <t>opcion</t>
  </si>
  <si>
    <t>ventas</t>
  </si>
  <si>
    <t>%</t>
  </si>
  <si>
    <t>inventario</t>
  </si>
  <si>
    <t>alertas</t>
  </si>
  <si>
    <t>conteo</t>
  </si>
  <si>
    <t>si</t>
  </si>
  <si>
    <t>no</t>
  </si>
  <si>
    <t>Metrica</t>
  </si>
  <si>
    <t>Valor</t>
  </si>
  <si>
    <t>promedio</t>
  </si>
  <si>
    <t>minimo</t>
  </si>
  <si>
    <t>maximo</t>
  </si>
  <si>
    <t>Juan Mathias Palacios Botello</t>
  </si>
  <si>
    <t>Simón Andrés Vega Serrano</t>
  </si>
  <si>
    <t>Juan Diego Hernández Velazco</t>
  </si>
  <si>
    <t>Martin Julián Torres Fierro</t>
  </si>
  <si>
    <t>Juan David Gómez Martínez</t>
  </si>
  <si>
    <t>Kevin Santiago Saavedra Chantris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</si>
</sst>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2" fillId="0" borderId="1" xfId="0" applyFont="1" applyBorder="1"/>
    <xf numFmtId="0" fontId="1" fillId="0" borderId="1" xfId="0" applyFont="1" applyBorder="1"/>
    <xf numFmtId="0" fontId="0" fillId="0" borderId="1" xfId="0" applyBorder="1"/>
    <xf numFmtId="0" fontId="2" fillId="0" borderId="1"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'tabla de frecuencia y graficas'!$B$1</c:f>
              <c:strCache>
                <c:ptCount val="1"/>
                <c:pt idx="0">
                  <c:v>ventas</c:v>
                </c:pt>
              </c:strCache>
            </c:strRef>
          </c:tx>
          <c:spPr>
            <a:solidFill>
              <a:schemeClr val="accent1"/>
            </a:solidFill>
            <a:ln>
              <a:noFill/>
            </a:ln>
            <a:effectLst/>
          </c:spPr>
          <c:invertIfNegative val="0"/>
          <c:cat>
            <c:strRef>
              <c:f>'tabla de frecuencia y graficas'!$A$2:$A$3</c:f>
              <c:strCache>
                <c:ptCount val="2"/>
                <c:pt idx="0">
                  <c:v>ventas</c:v>
                </c:pt>
                <c:pt idx="1">
                  <c:v>inventario</c:v>
                </c:pt>
              </c:strCache>
            </c:strRef>
          </c:cat>
          <c:val>
            <c:numRef>
              <c:f>'tabla de frecuencia y graficas'!$B$2:$B$3</c:f>
              <c:numCache>
                <c:formatCode>General</c:formatCode>
                <c:ptCount val="2"/>
                <c:pt idx="0">
                  <c:v>3</c:v>
                </c:pt>
                <c:pt idx="1">
                  <c:v>2</c:v>
                </c:pt>
              </c:numCache>
            </c:numRef>
          </c:val>
          <c:extLst>
            <c:ext xmlns:c16="http://schemas.microsoft.com/office/drawing/2014/chart" uri="{C3380CC4-5D6E-409C-BE32-E72D297353CC}">
              <c16:uniqueId val="{00000000-2152-4863-8BF9-B53075E6B580}"/>
            </c:ext>
          </c:extLst>
        </c:ser>
        <c:dLbls>
          <c:showLegendKey val="0"/>
          <c:showVal val="0"/>
          <c:showCatName val="0"/>
          <c:showSerName val="0"/>
          <c:showPercent val="0"/>
          <c:showBubbleSize val="0"/>
        </c:dLbls>
        <c:gapWidth val="219"/>
        <c:overlap val="-27"/>
        <c:axId val="861840904"/>
        <c:axId val="861842952"/>
      </c:barChart>
      <c:catAx>
        <c:axId val="861840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2952"/>
        <c:crosses val="autoZero"/>
        <c:auto val="1"/>
        <c:lblAlgn val="ctr"/>
        <c:lblOffset val="100"/>
        <c:noMultiLvlLbl val="0"/>
      </c:catAx>
      <c:valAx>
        <c:axId val="861842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0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'tabla de frecuencia y graficas'!$B$13</c:f>
              <c:strCache>
                <c:ptCount val="1"/>
                <c:pt idx="0">
                  <c:v>conteo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5B-4085-9B15-9BA6791F30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5B-4085-9B15-9BA6791F3084}"/>
              </c:ext>
            </c:extLst>
          </c:dPt>
          <c:cat>
            <c:strRef>
              <c:f>'tabla de frecuencia y graficas'!$A$14:$A$15</c:f>
              <c:strCache>
                <c:ptCount val="2"/>
                <c:pt idx="0">
                  <c:v>si</c:v>
                </c:pt>
                <c:pt idx="1">
                  <c:v>no</c:v>
                </c:pt>
              </c:strCache>
            </c:strRef>
          </c:cat>
          <c:val>
            <c:numRef>
              <c:f>'tabla de frecuencia y graficas'!$B$14:$B$15</c:f>
              <c:numCache>
                <c:formatCode>General</c:formatCode>
                <c:ptCount val="2"/>
                <c:pt idx="0">
                  <c:v>4</c:v>
                </c:pt>
                <c:pt idx="1">
                  <c:v>1</c:v>
                </c:pt>
              </c:numCache>
            </c:numRef>
          </c:val>
          <c:extLst>
            <c:ext xmlns:c16="http://schemas.microsoft.com/office/drawing/2014/chart" uri="{C3380CC4-5D6E-409C-BE32-E72D297353CC}">
              <c16:uniqueId val="{00000000-19D7-409E-BF2B-7C434773CE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0</xdr:rowOff>
    </xdr:from>
    <xdr:to>
      <xdr:col>0</xdr:col>
      <xdr:colOff>2581275</xdr:colOff>
      <xdr:row>7</xdr:row>
      <xdr:rowOff>142875</xdr:rowOff>
    </xdr:to>
    <xdr:sp macro="" textlink="">
      <xdr:nvSpPr>
        <xdr:cNvPr id="2" name="TextBox 1">
          <a:extLst>
            <a:ext uri="{FF2B5EF4-FFF2-40B4-BE49-F238E27FC236}">
              <a16:creationId xmlns:a16="http://schemas.microsoft.com/office/drawing/2014/main" id="{11E06AFF-766D-DBCE-A522-D1EA183CB642}"/>
            </a:ext>
          </a:extLst>
        </xdr:cNvPr>
        <xdr:cNvSpPr txBox="1"/>
      </xdr:nvSpPr>
      <xdr:spPr>
        <a:xfrm>
          <a:off x="57150" y="0"/>
          <a:ext cx="2524125" cy="1533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Aunque algunos participantes seleccionaron “Inventario” como la función más importante, todos hacen parte del proceso de ventas del supermercado. Por esta razón, los datos de ventas diarias se asignan de forma general al comportamiento del negocio y no a una función específica.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0</xdr:row>
      <xdr:rowOff>0</xdr:rowOff>
    </xdr:from>
    <xdr:to>
      <xdr:col>10</xdr:col>
      <xdr:colOff>85725</xdr:colOff>
      <xdr:row>9</xdr:row>
      <xdr:rowOff>0</xdr:rowOff>
    </xdr:to>
    <xdr:graphicFrame macro="">
      <xdr:nvGraphicFramePr>
        <xdr:cNvPr id="2" name="Chart 1">
          <a:extLst>
            <a:ext uri="{FF2B5EF4-FFF2-40B4-BE49-F238E27FC236}">
              <a16:creationId xmlns:a16="http://schemas.microsoft.com/office/drawing/2014/main" i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10</xdr:row>
      <xdr:rowOff>57150</xdr:rowOff>
    </xdr:from>
    <xdr:to>
      <xdr:col>8</xdr:col>
      <xdr:colOff>476250</xdr:colOff>
      <xdr:row>20</xdr:row>
      <xdr:rowOff>161925</xdr:rowOff>
    </xdr:to>
    <xdr:graphicFrame macro="">
      <xdr:nvGraphicFramePr>
        <xdr:cNvPr id="3" name="Chart 2">
          <a:extLst>
            <a:ext uri="{FF2B5EF4-FFF2-40B4-BE49-F238E27FC236}">
              <a16:creationId xmlns:a16="http://schemas.microsoft.com/office/drawing/2014/main" id="{7348F06D-33C7-100C-8EF3-71929146BC4C}"/>
            </a:ext>
            <a:ext uri="{147F2762-F138-4A5C-976F-8EAC2B608ADB}">
              <a16:predDERef xmlns:a16="http://schemas.microsoft.com/office/drawing/2014/main" pre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activeCell="D18" sqref="D18"/>
    </sheetView>
  </sheetViews>
  <sheetFormatPr baseColWidth="10" defaultColWidth="9.140625" defaultRowHeight="15" x14ac:dyDescent="0.25"/>
  <cols>
    <col min="2" max="2" width="14.28515625" customWidth="1"/>
    <col min="3" max="3" width="14.85546875" customWidth="1"/>
    <col min="4" max="4" width="12.140625" customWidth="1"/>
    <col min="7" max="7" width="13" customWidth="1"/>
    <col min="8" max="8" width="13.140625" customWidth="1"/>
  </cols>
  <sheetData>
    <row r="1" spans="1:8" x14ac:dyDescent="0.25">
      <c r="A1" s="5" t="s">
        <v>0</v>
      </c>
      <c r="B1" s="5" t="s">
        <v>1</v>
      </c>
      <c r="C1" s="5" t="s">
        <v>2</v>
      </c>
      <c r="D1" s="5" t="s">
        <v>3</v>
      </c>
      <c r="E1" s="5" t="s">
        <v>4</v>
      </c>
      <c r="F1" s="5" t="s">
        <v>5</v>
      </c>
      <c r="G1" s="5" t="s">
        <v>6</v>
      </c>
      <c r="H1" s="5" t="s">
        <v>7</v>
      </c>
    </row>
    <row r="2" spans="1:8" x14ac:dyDescent="0.25">
      <c r="A2" s="3">
        <v>1</v>
      </c>
      <c r="B2" s="3" t="s">
        <v>8</v>
      </c>
      <c r="C2" s="3" t="s">
        <v>9</v>
      </c>
      <c r="D2" s="3" t="s">
        <v>8</v>
      </c>
      <c r="E2" s="3" t="s">
        <v>10</v>
      </c>
      <c r="F2" s="3" t="s">
        <v>11</v>
      </c>
      <c r="G2" s="3" t="s">
        <v>12</v>
      </c>
      <c r="H2" s="3">
        <v>40</v>
      </c>
    </row>
    <row r="3" spans="1:8" x14ac:dyDescent="0.25">
      <c r="A3" s="3">
        <v>2</v>
      </c>
      <c r="B3" s="3" t="s">
        <v>8</v>
      </c>
      <c r="C3" s="3" t="s">
        <v>13</v>
      </c>
      <c r="D3" s="3" t="s">
        <v>8</v>
      </c>
      <c r="E3" s="3" t="s">
        <v>14</v>
      </c>
      <c r="F3" s="3" t="s">
        <v>15</v>
      </c>
      <c r="G3" s="3" t="s">
        <v>16</v>
      </c>
      <c r="H3" s="3">
        <v>50</v>
      </c>
    </row>
    <row r="4" spans="1:8" x14ac:dyDescent="0.25">
      <c r="A4" s="3">
        <v>3</v>
      </c>
      <c r="B4" s="3" t="s">
        <v>8</v>
      </c>
      <c r="C4" s="3" t="s">
        <v>9</v>
      </c>
      <c r="D4" s="3" t="s">
        <v>8</v>
      </c>
      <c r="E4" s="3" t="s">
        <v>10</v>
      </c>
      <c r="F4" s="3" t="s">
        <v>15</v>
      </c>
      <c r="G4" s="3" t="s">
        <v>12</v>
      </c>
      <c r="H4" s="3">
        <v>60</v>
      </c>
    </row>
    <row r="5" spans="1:8" x14ac:dyDescent="0.25">
      <c r="A5" s="3">
        <v>4</v>
      </c>
      <c r="B5" s="3" t="s">
        <v>8</v>
      </c>
      <c r="C5" s="3" t="s">
        <v>13</v>
      </c>
      <c r="D5" s="3" t="s">
        <v>17</v>
      </c>
      <c r="E5" s="3" t="s">
        <v>18</v>
      </c>
      <c r="F5" s="3" t="s">
        <v>11</v>
      </c>
      <c r="G5" s="3" t="s">
        <v>19</v>
      </c>
      <c r="H5" s="3">
        <v>45</v>
      </c>
    </row>
    <row r="6" spans="1:8" x14ac:dyDescent="0.25">
      <c r="A6" s="3">
        <v>5</v>
      </c>
      <c r="B6" s="3" t="s">
        <v>8</v>
      </c>
      <c r="C6" s="3" t="s">
        <v>9</v>
      </c>
      <c r="D6" s="3" t="s">
        <v>8</v>
      </c>
      <c r="E6" s="3" t="s">
        <v>10</v>
      </c>
      <c r="F6" s="3" t="s">
        <v>15</v>
      </c>
      <c r="G6" s="3" t="s">
        <v>12</v>
      </c>
      <c r="H6" s="3">
        <v>55</v>
      </c>
    </row>
    <row r="12" spans="1:8" x14ac:dyDescent="0.25">
      <c r="A12" s="7" t="s">
        <v>33</v>
      </c>
      <c r="B12" s="7"/>
    </row>
    <row r="13" spans="1:8" x14ac:dyDescent="0.25">
      <c r="A13" s="6" t="s">
        <v>34</v>
      </c>
      <c r="B13" s="6"/>
      <c r="C13" s="6"/>
    </row>
    <row r="14" spans="1:8" x14ac:dyDescent="0.25">
      <c r="A14" s="6" t="s">
        <v>35</v>
      </c>
      <c r="B14" s="6"/>
      <c r="C14" s="6"/>
    </row>
    <row r="15" spans="1:8" x14ac:dyDescent="0.25">
      <c r="A15" s="6" t="s">
        <v>36</v>
      </c>
      <c r="B15" s="6"/>
      <c r="C15" s="6"/>
    </row>
    <row r="16" spans="1:8" x14ac:dyDescent="0.25">
      <c r="A16" s="6" t="s">
        <v>37</v>
      </c>
      <c r="B16" s="6"/>
      <c r="C16" s="6"/>
    </row>
    <row r="17" spans="1:3" x14ac:dyDescent="0.25">
      <c r="A17" s="6" t="s">
        <v>38</v>
      </c>
      <c r="B17" s="6"/>
      <c r="C17" s="6"/>
    </row>
  </sheetData>
  <mergeCells count="5">
    <mergeCell ref="A13:C13"/>
    <mergeCell ref="A14:C14"/>
    <mergeCell ref="A15:C15"/>
    <mergeCell ref="A16:C16"/>
    <mergeCell ref="A17: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9E3E-51D8-464C-80B9-5A1BC9D74C9D}">
  <dimension ref="A1"/>
  <sheetViews>
    <sheetView workbookViewId="0">
      <selection activeCell="J15" sqref="J15"/>
    </sheetView>
  </sheetViews>
  <sheetFormatPr baseColWidth="10" defaultColWidth="9.140625" defaultRowHeight="15" x14ac:dyDescent="0.25"/>
  <cols>
    <col min="1" max="1" width="38.85546875" customWidth="1"/>
  </cols>
  <sheetData>
    <row r="1" ht="19.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B79C-71F3-4A0A-8181-1FC89529D083}">
  <dimension ref="A1:C15"/>
  <sheetViews>
    <sheetView workbookViewId="0">
      <selection activeCell="L17" sqref="L17"/>
    </sheetView>
  </sheetViews>
  <sheetFormatPr baseColWidth="10" defaultColWidth="9.140625" defaultRowHeight="15" x14ac:dyDescent="0.25"/>
  <cols>
    <col min="1" max="1" width="10.28515625" customWidth="1"/>
  </cols>
  <sheetData>
    <row r="1" spans="1:3" x14ac:dyDescent="0.25">
      <c r="A1" s="4" t="s">
        <v>20</v>
      </c>
      <c r="B1" s="4" t="s">
        <v>21</v>
      </c>
      <c r="C1" s="4" t="s">
        <v>22</v>
      </c>
    </row>
    <row r="2" spans="1:3" x14ac:dyDescent="0.25">
      <c r="A2" s="3" t="s">
        <v>21</v>
      </c>
      <c r="B2" s="3">
        <f>COUNTIF(datos!C:C,"Ventas")</f>
        <v>3</v>
      </c>
      <c r="C2" s="3">
        <f>B2/SUM(B2:B3)*100</f>
        <v>60</v>
      </c>
    </row>
    <row r="3" spans="1:3" x14ac:dyDescent="0.25">
      <c r="A3" s="3" t="s">
        <v>23</v>
      </c>
      <c r="B3" s="3">
        <f>COUNTIF(datos!C:C,"inventario")</f>
        <v>2</v>
      </c>
      <c r="C3" s="3">
        <f>B3/SUM(B2:B3)*100</f>
        <v>40</v>
      </c>
    </row>
    <row r="13" spans="1:3" x14ac:dyDescent="0.25">
      <c r="A13" s="1" t="s">
        <v>24</v>
      </c>
      <c r="B13" s="2" t="s">
        <v>25</v>
      </c>
    </row>
    <row r="14" spans="1:3" x14ac:dyDescent="0.25">
      <c r="A14" s="3" t="s">
        <v>26</v>
      </c>
      <c r="B14" s="3">
        <f>COUNTIF(datos!D:D,"Sí")</f>
        <v>4</v>
      </c>
    </row>
    <row r="15" spans="1:3" x14ac:dyDescent="0.25">
      <c r="A15" s="3" t="s">
        <v>27</v>
      </c>
      <c r="B15" s="3">
        <f>COUNTIF(datos!D:D,"No")</f>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5727-2845-4F81-9D2F-A4789BA4C70B}">
  <dimension ref="A1:B4"/>
  <sheetViews>
    <sheetView workbookViewId="0">
      <selection sqref="A1:B4"/>
    </sheetView>
  </sheetViews>
  <sheetFormatPr baseColWidth="10" defaultColWidth="9.140625" defaultRowHeight="15" x14ac:dyDescent="0.25"/>
  <sheetData>
    <row r="1" spans="1:2" x14ac:dyDescent="0.25">
      <c r="A1" s="2" t="s">
        <v>28</v>
      </c>
      <c r="B1" s="1" t="s">
        <v>29</v>
      </c>
    </row>
    <row r="2" spans="1:2" x14ac:dyDescent="0.25">
      <c r="A2" s="3" t="s">
        <v>30</v>
      </c>
      <c r="B2" s="3">
        <f>AVERAGE(datos!H2:H6)</f>
        <v>50</v>
      </c>
    </row>
    <row r="3" spans="1:2" x14ac:dyDescent="0.25">
      <c r="A3" s="3" t="s">
        <v>31</v>
      </c>
      <c r="B3" s="3">
        <f>MIN(datos!H2:H6)</f>
        <v>40</v>
      </c>
    </row>
    <row r="4" spans="1:2" x14ac:dyDescent="0.25">
      <c r="A4" s="3" t="s">
        <v>32</v>
      </c>
      <c r="B4" s="3">
        <f>MAX(datos!H2:H6)</f>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vt:lpstr>
      <vt:lpstr>justificacion tabla datos</vt:lpstr>
      <vt:lpstr>tabla de frecuencia y graficas</vt:lpstr>
      <vt:lpstr>estadistica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Nicolas Esteban Aldana Doria</cp:lastModifiedBy>
  <cp:revision/>
  <dcterms:created xsi:type="dcterms:W3CDTF">2026-04-11T22:00:32Z</dcterms:created>
  <dcterms:modified xsi:type="dcterms:W3CDTF">2026-04-15T02:14:13Z</dcterms:modified>
  <cp:category/>
  <cp:contentStatus/>
</cp:coreProperties>
</file>